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dds Board" sheetId="1" state="visible" r:id="rId3"/>
    <sheet name="Draft 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<sst xmlns="http://schemas.openxmlformats.org/spreadsheetml/2006/main" count="121" uniqueCount="80">
  <si>
    <t xml:space="preserve">2026 FIFA World Cup — Title Odds</t>
  </si>
  <si>
    <t xml:space="preserve">Ranked by Vegas odds to win. Team names shown in flag colors. Source: ESPN/DraftKings, updated Apr 2026; BetMGM top tier confirmed Jun 6 2026.</t>
  </si>
  <si>
    <t xml:space="preserve">Rank</t>
  </si>
  <si>
    <t xml:space="preserve">Team</t>
  </si>
  <si>
    <t xml:space="preserve">Group</t>
  </si>
  <si>
    <t xml:space="preserve">Odds (American)</t>
  </si>
  <si>
    <t xml:space="preserve">Implied Win %</t>
  </si>
  <si>
    <t xml:space="preserve">Spain</t>
  </si>
  <si>
    <t xml:space="preserve">H</t>
  </si>
  <si>
    <t xml:space="preserve">France</t>
  </si>
  <si>
    <t xml:space="preserve">I</t>
  </si>
  <si>
    <t xml:space="preserve">England</t>
  </si>
  <si>
    <t xml:space="preserve">L</t>
  </si>
  <si>
    <t xml:space="preserve">Brazil</t>
  </si>
  <si>
    <t xml:space="preserve">C</t>
  </si>
  <si>
    <t xml:space="preserve">Argentina</t>
  </si>
  <si>
    <t xml:space="preserve">J</t>
  </si>
  <si>
    <t xml:space="preserve">Portugal</t>
  </si>
  <si>
    <t xml:space="preserve">K</t>
  </si>
  <si>
    <t xml:space="preserve">Germany</t>
  </si>
  <si>
    <t xml:space="preserve">E</t>
  </si>
  <si>
    <t xml:space="preserve">Netherlands</t>
  </si>
  <si>
    <t xml:space="preserve">F</t>
  </si>
  <si>
    <t xml:space="preserve">Norway</t>
  </si>
  <si>
    <t xml:space="preserve">Belgium</t>
  </si>
  <si>
    <t xml:space="preserve">G</t>
  </si>
  <si>
    <t xml:space="preserve">Colombia</t>
  </si>
  <si>
    <t xml:space="preserve">Japan</t>
  </si>
  <si>
    <t xml:space="preserve">Morocco</t>
  </si>
  <si>
    <t xml:space="preserve">United States</t>
  </si>
  <si>
    <t xml:space="preserve">D</t>
  </si>
  <si>
    <t xml:space="preserve">Uruguay</t>
  </si>
  <si>
    <t xml:space="preserve">Turkey</t>
  </si>
  <si>
    <t xml:space="preserve">Mexico</t>
  </si>
  <si>
    <t xml:space="preserve">A</t>
  </si>
  <si>
    <t xml:space="preserve">Ecuador</t>
  </si>
  <si>
    <t xml:space="preserve">Sweden</t>
  </si>
  <si>
    <t xml:space="preserve">Croatia</t>
  </si>
  <si>
    <t xml:space="preserve">Switzerland</t>
  </si>
  <si>
    <t xml:space="preserve">B</t>
  </si>
  <si>
    <t xml:space="preserve">Austria</t>
  </si>
  <si>
    <t xml:space="preserve">Senegal</t>
  </si>
  <si>
    <t xml:space="preserve">Czechia</t>
  </si>
  <si>
    <t xml:space="preserve">Canada</t>
  </si>
  <si>
    <t xml:space="preserve">Paraguay</t>
  </si>
  <si>
    <t xml:space="preserve">Scotland</t>
  </si>
  <si>
    <t xml:space="preserve">Ivory Coast</t>
  </si>
  <si>
    <t xml:space="preserve">Bosnia and Herzegovina</t>
  </si>
  <si>
    <t xml:space="preserve">Egypt</t>
  </si>
  <si>
    <t xml:space="preserve">Iran</t>
  </si>
  <si>
    <t xml:space="preserve">Algeria</t>
  </si>
  <si>
    <t xml:space="preserve">South Korea</t>
  </si>
  <si>
    <t xml:space="preserve">Ghana</t>
  </si>
  <si>
    <t xml:space="preserve">Australia</t>
  </si>
  <si>
    <t xml:space="preserve">Tunisia</t>
  </si>
  <si>
    <t xml:space="preserve">Congo DR</t>
  </si>
  <si>
    <t xml:space="preserve">South Africa</t>
  </si>
  <si>
    <t xml:space="preserve">Saudi Arabia</t>
  </si>
  <si>
    <t xml:space="preserve">Panama</t>
  </si>
  <si>
    <t xml:space="preserve">Qatar</t>
  </si>
  <si>
    <t xml:space="preserve">New Zealand</t>
  </si>
  <si>
    <t xml:space="preserve">Iraq</t>
  </si>
  <si>
    <t xml:space="preserve">Cape Verde</t>
  </si>
  <si>
    <t xml:space="preserve">Uzbekistan</t>
  </si>
  <si>
    <t xml:space="preserve">Jordan</t>
  </si>
  <si>
    <t xml:space="preserve">Haiti</t>
  </si>
  <si>
    <t xml:space="preserve">Curacao</t>
  </si>
  <si>
    <t xml:space="preserve">Draft Board — 6 Teams × 8 Picks</t>
  </si>
  <si>
    <t xml:space="preserve">Pick from the dropdown in each cell. 'Total Implied Win %' sums each squad's title probability — a built-in backup score.</t>
  </si>
  <si>
    <t xml:space="preserve">Pick</t>
  </si>
  <si>
    <t xml:space="preserve">Team 1</t>
  </si>
  <si>
    <t xml:space="preserve">Team 2</t>
  </si>
  <si>
    <t xml:space="preserve">Team 3</t>
  </si>
  <si>
    <t xml:space="preserve">Team 4</t>
  </si>
  <si>
    <t xml:space="preserve">Team 5</t>
  </si>
  <si>
    <t xml:space="preserve">Team 6</t>
  </si>
  <si>
    <t xml:space="preserve">Drafter</t>
  </si>
  <si>
    <t xml:space="preserve">(enter name)</t>
  </si>
  <si>
    <t xml:space="preserve"># Picks</t>
  </si>
  <si>
    <t xml:space="preserve">Total Implied Win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</si>
</sst>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+0"/>
    <numFmt numFmtId="166" formatCode="0.0%"/>
  </numFmts>
  <fonts count="6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F3A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b val="true"/>
      <sz val="11"/>
      <color rgb="FFC60B1E"/>
      <name val="Arial"/>
      <family val="0"/>
      <charset val="1"/>
    </font>
    <font>
      <sz val="10"/>
      <color rgb="FF475467"/>
      <name val="Arial"/>
      <family val="0"/>
      <charset val="1"/>
    </font>
    <font>
      <sz val="11"/>
      <color rgb="FF111111"/>
      <name val="Arial"/>
      <family val="0"/>
      <charset val="1"/>
    </font>
    <font>
      <b val="true"/>
      <sz val="11"/>
      <color rgb="FF0055A4"/>
      <name val="Arial"/>
      <family val="0"/>
      <charset val="1"/>
    </font>
    <font>
      <b val="true"/>
      <sz val="11"/>
      <color rgb="FFCE1124"/>
      <name val="Arial"/>
      <family val="0"/>
      <charset val="1"/>
    </font>
    <font>
      <b val="true"/>
      <sz val="11"/>
      <color rgb="FF009C3B"/>
      <name val="Arial"/>
      <family val="0"/>
      <charset val="1"/>
    </font>
    <font>
      <b val="true"/>
      <sz val="11"/>
      <color rgb="FF2E7CC0"/>
      <name val="Arial"/>
      <family val="0"/>
      <charset val="1"/>
    </font>
    <font>
      <b val="true"/>
      <sz val="11"/>
      <color rgb="FF006600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b val="true"/>
      <sz val="11"/>
      <color rgb="FFE4571B"/>
      <name val="Arial"/>
      <family val="0"/>
      <charset val="1"/>
    </font>
    <font>
      <b val="true"/>
      <sz val="11"/>
      <color rgb="FFBA0C2F"/>
      <name val="Arial"/>
      <family val="0"/>
      <charset val="1"/>
    </font>
    <font>
      <b val="true"/>
      <sz val="11"/>
      <color rgb="FF00318B"/>
      <name val="Arial"/>
      <family val="0"/>
      <charset val="1"/>
    </font>
    <font>
      <b val="true"/>
      <sz val="11"/>
      <color rgb="FFBC002D"/>
      <name val="Arial"/>
      <family val="0"/>
      <charset val="1"/>
    </font>
    <font>
      <b val="true"/>
      <sz val="11"/>
      <color rgb="FFC1272D"/>
      <name val="Arial"/>
      <family val="0"/>
      <charset val="1"/>
    </font>
    <font>
      <b val="true"/>
      <sz val="11"/>
      <color rgb="FF0A3161"/>
      <name val="Arial"/>
      <family val="0"/>
      <charset val="1"/>
    </font>
    <font>
      <b val="true"/>
      <sz val="11"/>
      <color rgb="FF0038A8"/>
      <name val="Arial"/>
      <family val="0"/>
      <charset val="1"/>
    </font>
    <font>
      <b val="true"/>
      <sz val="11"/>
      <color rgb="FFE30A17"/>
      <name val="Arial"/>
      <family val="0"/>
      <charset val="1"/>
    </font>
    <font>
      <b val="true"/>
      <sz val="11"/>
      <color rgb="FF006847"/>
      <name val="Arial"/>
      <family val="0"/>
      <charset val="1"/>
    </font>
    <font>
      <b val="true"/>
      <sz val="11"/>
      <color rgb="FF034EA2"/>
      <name val="Arial"/>
      <family val="0"/>
      <charset val="1"/>
    </font>
    <font>
      <b val="true"/>
      <sz val="11"/>
      <color rgb="FF006AA7"/>
      <name val="Arial"/>
      <family val="0"/>
      <charset val="1"/>
    </font>
    <font>
      <b val="true"/>
      <sz val="11"/>
      <color rgb="FFD2122E"/>
      <name val="Arial"/>
      <family val="0"/>
      <charset val="1"/>
    </font>
    <font>
      <b val="true"/>
      <sz val="11"/>
      <color rgb="FFDA291C"/>
      <name val="Arial"/>
      <family val="0"/>
      <charset val="1"/>
    </font>
    <font>
      <b val="true"/>
      <sz val="11"/>
      <color rgb="FFC8102E"/>
      <name val="Arial"/>
      <family val="0"/>
      <charset val="1"/>
    </font>
    <font>
      <b val="true"/>
      <sz val="11"/>
      <color rgb="FF00853F"/>
      <name val="Arial"/>
      <family val="0"/>
      <charset val="1"/>
    </font>
    <font>
      <b val="true"/>
      <sz val="11"/>
      <color rgb="FF11457E"/>
      <name val="Arial"/>
      <family val="0"/>
      <charset val="1"/>
    </font>
    <font>
      <b val="true"/>
      <sz val="11"/>
      <color rgb="FFD52B1E"/>
      <name val="Arial"/>
      <family val="0"/>
      <charset val="1"/>
    </font>
    <font>
      <b val="true"/>
      <sz val="11"/>
      <color rgb="FF005EB8"/>
      <name val="Arial"/>
      <family val="0"/>
      <charset val="1"/>
    </font>
    <font>
      <b val="true"/>
      <sz val="11"/>
      <color rgb="FF009E60"/>
      <name val="Arial"/>
      <family val="0"/>
      <charset val="1"/>
    </font>
    <font>
      <b val="true"/>
      <sz val="11"/>
      <color rgb="FF002395"/>
      <name val="Arial"/>
      <family val="0"/>
      <charset val="1"/>
    </font>
    <font>
      <b val="true"/>
      <sz val="11"/>
      <color rgb="FFCE1126"/>
      <name val="Arial"/>
      <family val="0"/>
      <charset val="1"/>
    </font>
    <font>
      <b val="true"/>
      <sz val="11"/>
      <color rgb="FF239F40"/>
      <name val="Arial"/>
      <family val="0"/>
      <charset val="1"/>
    </font>
    <font>
      <b val="true"/>
      <sz val="11"/>
      <color rgb="FF006233"/>
      <name val="Arial"/>
      <family val="0"/>
      <charset val="1"/>
    </font>
    <font>
      <b val="true"/>
      <sz val="11"/>
      <color rgb="FF003478"/>
      <name val="Arial"/>
      <family val="0"/>
      <charset val="1"/>
    </font>
    <font>
      <b val="true"/>
      <sz val="11"/>
      <color rgb="FF006B3F"/>
      <name val="Arial"/>
      <family val="0"/>
      <charset val="1"/>
    </font>
    <font>
      <b val="true"/>
      <sz val="11"/>
      <color rgb="FF00247D"/>
      <name val="Arial"/>
      <family val="0"/>
      <charset val="1"/>
    </font>
    <font>
      <b val="true"/>
      <sz val="11"/>
      <color rgb="FFE70013"/>
      <name val="Arial"/>
      <family val="0"/>
      <charset val="1"/>
    </font>
    <font>
      <b val="true"/>
      <sz val="11"/>
      <color rgb="FF2078C9"/>
      <name val="Arial"/>
      <family val="0"/>
      <charset val="1"/>
    </font>
    <font>
      <b val="true"/>
      <sz val="11"/>
      <color rgb="FF007749"/>
      <name val="Arial"/>
      <family val="0"/>
      <charset val="1"/>
    </font>
    <font>
      <b val="true"/>
      <sz val="11"/>
      <color rgb="FF006C35"/>
      <name val="Arial"/>
      <family val="0"/>
      <charset val="1"/>
    </font>
    <font>
      <b val="true"/>
      <sz val="11"/>
      <color rgb="FF005293"/>
      <name val="Arial"/>
      <family val="0"/>
      <charset val="1"/>
    </font>
    <font>
      <b val="true"/>
      <sz val="11"/>
      <color rgb="FF8A1538"/>
      <name val="Arial"/>
      <family val="0"/>
      <charset val="1"/>
    </font>
    <font>
      <b val="true"/>
      <sz val="11"/>
      <color rgb="FF003893"/>
      <name val="Arial"/>
      <family val="0"/>
      <charset val="1"/>
    </font>
    <font>
      <b val="true"/>
      <sz val="11"/>
      <color rgb="FF007CB8"/>
      <name val="Arial"/>
      <family val="0"/>
      <charset val="1"/>
    </font>
    <font>
      <b val="true"/>
      <sz val="11"/>
      <color rgb="FF00209F"/>
      <name val="Arial"/>
      <family val="0"/>
      <charset val="1"/>
    </font>
    <font>
      <b val="true"/>
      <sz val="11"/>
      <color rgb="FF002B7F"/>
      <name val="Arial"/>
      <family val="0"/>
      <charset val="1"/>
    </font>
    <font>
      <b val="true"/>
      <sz val="9"/>
      <color rgb="FF475467"/>
      <name val="Arial"/>
      <family val="0"/>
      <charset val="1"/>
    </font>
    <font>
      <i val="true"/>
      <sz val="9"/>
      <color rgb="FF98A2B3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475467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1E7E34"/>
      <name val="Arial"/>
      <family val="0"/>
      <charset val="1"/>
    </font>
    <font>
      <b val="true"/>
      <sz val="11"/>
      <color rgb="FF6C3483"/>
      <name val="Arial"/>
      <family val="0"/>
      <charset val="1"/>
    </font>
    <font>
      <b val="true"/>
      <sz val="11"/>
      <color rgb="FFB9770E"/>
      <name val="Arial"/>
      <family val="0"/>
      <charset val="1"/>
    </font>
    <font>
      <b val="true"/>
      <sz val="11"/>
      <color rgb="FF0E6B8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1F3A"/>
        <bgColor rgb="FF111111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C0392B"/>
        <bgColor rgb="FFC1272D"/>
      </patternFill>
    </fill>
    <fill>
      <patternFill patternType="solid">
        <fgColor rgb="FF1E7E34"/>
        <bgColor rgb="FF00853F"/>
      </patternFill>
    </fill>
    <fill>
      <patternFill patternType="solid">
        <fgColor rgb="FF6C3483"/>
        <bgColor rgb="FF475467"/>
      </patternFill>
    </fill>
    <fill>
      <patternFill patternType="solid">
        <fgColor rgb="FFB9770E"/>
        <bgColor rgb="FFE4571B"/>
      </patternFill>
    </fill>
    <fill>
      <patternFill patternType="solid">
        <fgColor rgb="FF0E6B8C"/>
        <bgColor rgb="FF006AA7"/>
      </patternFill>
    </fill>
    <fill>
      <patternFill patternType="solid">
        <fgColor rgb="FFE2E8F0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70013"/>
      <rgbColor rgb="FF00853F"/>
      <rgbColor rgb="FF0038A8"/>
      <rgbColor rgb="FF003478"/>
      <rgbColor rgb="FFD2122E"/>
      <rgbColor rgb="FF007749"/>
      <rgbColor rgb="FF8A1538"/>
      <rgbColor rgb="FF006600"/>
      <rgbColor rgb="FF00219A"/>
      <rgbColor rgb="FFB9770E"/>
      <rgbColor rgb="FFBA0C2F"/>
      <rgbColor rgb="FF0E6B8C"/>
      <rgbColor rgb="FF006C35"/>
      <rgbColor rgb="FF2E7CC0"/>
      <rgbColor rgb="FF006AA7"/>
      <rgbColor rgb="FF6C3483"/>
      <rgbColor rgb="FFF2F4F7"/>
      <rgbColor rgb="FFE2E8F0"/>
      <rgbColor rgb="FFC60B1E"/>
      <rgbColor rgb="FFD52B1E"/>
      <rgbColor rgb="FF005EB8"/>
      <rgbColor rgb="FFD0D7DE"/>
      <rgbColor rgb="FF00247D"/>
      <rgbColor rgb="FFCE1126"/>
      <rgbColor rgb="FF00318B"/>
      <rgbColor rgb="FF006847"/>
      <rgbColor rgb="FFC8102E"/>
      <rgbColor rgb="FFBC002D"/>
      <rgbColor rgb="FF007CB8"/>
      <rgbColor rgb="FF002B7F"/>
      <rgbColor rgb="FF009C3B"/>
      <rgbColor rgb="FF034EA2"/>
      <rgbColor rgb="FF005293"/>
      <rgbColor rgb="FF003893"/>
      <rgbColor rgb="FF006B3F"/>
      <rgbColor rgb="FFCE1124"/>
      <rgbColor rgb="FF0055A4"/>
      <rgbColor rgb="FF006233"/>
      <rgbColor rgb="FF2078C9"/>
      <rgbColor rgb="FF009E60"/>
      <rgbColor rgb="FF1E7E34"/>
      <rgbColor rgb="FFE30A17"/>
      <rgbColor rgb="FFDA291C"/>
      <rgbColor rgb="FFE4571B"/>
      <rgbColor rgb="FF667085"/>
      <rgbColor rgb="FF98A2B3"/>
      <rgbColor rgb="FF0A3161"/>
      <rgbColor rgb="FF239F40"/>
      <rgbColor rgb="FF0B1F3A"/>
      <rgbColor rgb="FF111111"/>
      <rgbColor rgb="FFC0392B"/>
      <rgbColor rgb="FFC1272D"/>
      <rgbColor rgb="FF11457E"/>
      <rgbColor rgb="FF47546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5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5" t="s">
        <v>7</v>
      </c>
      <c r="C5" s="6" t="s">
        <v>8</v>
      </c>
      <c r="D5" s="7" t="n">
        <v>450</v>
      </c>
      <c r="E5" s="8" t="n">
        <f aca="false">1/(D5/100+1)</f>
        <v>0.181818181818182</v>
      </c>
    </row>
    <row r="6" customFormat="false" ht="15" hidden="false" customHeight="false" outlineLevel="0" collapsed="false">
      <c r="A6" s="9" t="n">
        <v>2</v>
      </c>
      <c r="B6" s="10" t="s">
        <v>9</v>
      </c>
      <c r="C6" s="11" t="s">
        <v>10</v>
      </c>
      <c r="D6" s="12" t="n">
        <v>600</v>
      </c>
      <c r="E6" s="13" t="n">
        <f aca="false">1/(D6/100+1)</f>
        <v>0.142857142857143</v>
      </c>
    </row>
    <row r="7" customFormat="false" ht="15" hidden="false" customHeight="false" outlineLevel="0" collapsed="false">
      <c r="A7" s="4" t="n">
        <v>3</v>
      </c>
      <c r="B7" s="14" t="s">
        <v>11</v>
      </c>
      <c r="C7" s="6" t="s">
        <v>12</v>
      </c>
      <c r="D7" s="7" t="n">
        <v>600</v>
      </c>
      <c r="E7" s="8" t="n">
        <f aca="false">1/(D7/100+1)</f>
        <v>0.142857142857143</v>
      </c>
    </row>
    <row r="8" customFormat="false" ht="15" hidden="false" customHeight="false" outlineLevel="0" collapsed="false">
      <c r="A8" s="9" t="n">
        <v>4</v>
      </c>
      <c r="B8" s="15" t="s">
        <v>13</v>
      </c>
      <c r="C8" s="11" t="s">
        <v>14</v>
      </c>
      <c r="D8" s="12" t="n">
        <v>850</v>
      </c>
      <c r="E8" s="13" t="n">
        <f aca="false">1/(D8/100+1)</f>
        <v>0.105263157894737</v>
      </c>
    </row>
    <row r="9" customFormat="false" ht="15" hidden="false" customHeight="false" outlineLevel="0" collapsed="false">
      <c r="A9" s="4" t="n">
        <v>5</v>
      </c>
      <c r="B9" s="16" t="s">
        <v>15</v>
      </c>
      <c r="C9" s="6" t="s">
        <v>16</v>
      </c>
      <c r="D9" s="7" t="n">
        <v>850</v>
      </c>
      <c r="E9" s="8" t="n">
        <f aca="false">1/(D9/100+1)</f>
        <v>0.105263157894737</v>
      </c>
    </row>
    <row r="10" customFormat="false" ht="15" hidden="false" customHeight="false" outlineLevel="0" collapsed="false">
      <c r="A10" s="9" t="n">
        <v>6</v>
      </c>
      <c r="B10" s="17" t="s">
        <v>17</v>
      </c>
      <c r="C10" s="11" t="s">
        <v>18</v>
      </c>
      <c r="D10" s="12" t="n">
        <v>1100</v>
      </c>
      <c r="E10" s="13" t="n">
        <f aca="false">1/(D10/100+1)</f>
        <v>0.0833333333333333</v>
      </c>
    </row>
    <row r="11" customFormat="false" ht="15" hidden="false" customHeight="false" outlineLevel="0" collapsed="false">
      <c r="A11" s="4" t="n">
        <v>7</v>
      </c>
      <c r="B11" s="18" t="s">
        <v>19</v>
      </c>
      <c r="C11" s="6" t="s">
        <v>20</v>
      </c>
      <c r="D11" s="7" t="n">
        <v>1400</v>
      </c>
      <c r="E11" s="8" t="n">
        <f aca="false">1/(D11/100+1)</f>
        <v>0.0666666666666667</v>
      </c>
    </row>
    <row r="12" customFormat="false" ht="15" hidden="false" customHeight="false" outlineLevel="0" collapsed="false">
      <c r="A12" s="9" t="n">
        <v>8</v>
      </c>
      <c r="B12" s="19" t="s">
        <v>21</v>
      </c>
      <c r="C12" s="11" t="s">
        <v>22</v>
      </c>
      <c r="D12" s="12" t="n">
        <v>2000</v>
      </c>
      <c r="E12" s="13" t="n">
        <f aca="false">1/(D12/100+1)</f>
        <v>0.0476190476190476</v>
      </c>
    </row>
    <row r="13" customFormat="false" ht="15" hidden="false" customHeight="false" outlineLevel="0" collapsed="false">
      <c r="A13" s="4" t="n">
        <v>9</v>
      </c>
      <c r="B13" s="20" t="s">
        <v>23</v>
      </c>
      <c r="C13" s="6" t="s">
        <v>10</v>
      </c>
      <c r="D13" s="7" t="n">
        <v>2800</v>
      </c>
      <c r="E13" s="8" t="n">
        <f aca="false">1/(D13/100+1)</f>
        <v>0.0344827586206897</v>
      </c>
    </row>
    <row r="14" customFormat="false" ht="15" hidden="false" customHeight="false" outlineLevel="0" collapsed="false">
      <c r="A14" s="9" t="n">
        <v>10</v>
      </c>
      <c r="B14" s="21" t="s">
        <v>24</v>
      </c>
      <c r="C14" s="11" t="s">
        <v>25</v>
      </c>
      <c r="D14" s="12" t="n">
        <v>3500</v>
      </c>
      <c r="E14" s="13" t="n">
        <f aca="false">1/(D14/100+1)</f>
        <v>0.0277777777777778</v>
      </c>
    </row>
    <row r="15" customFormat="false" ht="15" hidden="false" customHeight="false" outlineLevel="0" collapsed="false">
      <c r="A15" s="4" t="n">
        <v>11</v>
      </c>
      <c r="B15" s="22" t="s">
        <v>26</v>
      </c>
      <c r="C15" s="6" t="s">
        <v>18</v>
      </c>
      <c r="D15" s="7" t="n">
        <v>4000</v>
      </c>
      <c r="E15" s="8" t="n">
        <f aca="false">1/(D15/100+1)</f>
        <v>0.024390243902439</v>
      </c>
    </row>
    <row r="16" customFormat="false" ht="15" hidden="false" customHeight="false" outlineLevel="0" collapsed="false">
      <c r="A16" s="9" t="n">
        <v>12</v>
      </c>
      <c r="B16" s="23" t="s">
        <v>27</v>
      </c>
      <c r="C16" s="11" t="s">
        <v>22</v>
      </c>
      <c r="D16" s="12" t="n">
        <v>5000</v>
      </c>
      <c r="E16" s="13" t="n">
        <f aca="false">1/(D16/100+1)</f>
        <v>0.0196078431372549</v>
      </c>
    </row>
    <row r="17" customFormat="false" ht="15" hidden="false" customHeight="false" outlineLevel="0" collapsed="false">
      <c r="A17" s="4" t="n">
        <v>13</v>
      </c>
      <c r="B17" s="24" t="s">
        <v>28</v>
      </c>
      <c r="C17" s="6" t="s">
        <v>14</v>
      </c>
      <c r="D17" s="7" t="n">
        <v>6000</v>
      </c>
      <c r="E17" s="8" t="n">
        <f aca="false">1/(D17/100+1)</f>
        <v>0.0163934426229508</v>
      </c>
    </row>
    <row r="18" customFormat="false" ht="15" hidden="false" customHeight="false" outlineLevel="0" collapsed="false">
      <c r="A18" s="9" t="n">
        <v>14</v>
      </c>
      <c r="B18" s="25" t="s">
        <v>29</v>
      </c>
      <c r="C18" s="11" t="s">
        <v>30</v>
      </c>
      <c r="D18" s="12" t="n">
        <v>6500</v>
      </c>
      <c r="E18" s="13" t="n">
        <f aca="false">1/(D18/100+1)</f>
        <v>0.0151515151515152</v>
      </c>
    </row>
    <row r="19" customFormat="false" ht="15" hidden="false" customHeight="false" outlineLevel="0" collapsed="false">
      <c r="A19" s="4" t="n">
        <v>15</v>
      </c>
      <c r="B19" s="26" t="s">
        <v>31</v>
      </c>
      <c r="C19" s="6" t="s">
        <v>8</v>
      </c>
      <c r="D19" s="7" t="n">
        <v>6500</v>
      </c>
      <c r="E19" s="8" t="n">
        <f aca="false">1/(D19/100+1)</f>
        <v>0.0151515151515152</v>
      </c>
    </row>
    <row r="20" customFormat="false" ht="15" hidden="false" customHeight="false" outlineLevel="0" collapsed="false">
      <c r="A20" s="9" t="n">
        <v>16</v>
      </c>
      <c r="B20" s="27" t="s">
        <v>32</v>
      </c>
      <c r="C20" s="11" t="s">
        <v>30</v>
      </c>
      <c r="D20" s="12" t="n">
        <v>6500</v>
      </c>
      <c r="E20" s="13" t="n">
        <f aca="false">1/(D20/100+1)</f>
        <v>0.0151515151515152</v>
      </c>
    </row>
    <row r="21" customFormat="false" ht="15" hidden="false" customHeight="false" outlineLevel="0" collapsed="false">
      <c r="A21" s="4" t="n">
        <v>17</v>
      </c>
      <c r="B21" s="28" t="s">
        <v>33</v>
      </c>
      <c r="C21" s="6" t="s">
        <v>34</v>
      </c>
      <c r="D21" s="7" t="n">
        <v>7000</v>
      </c>
      <c r="E21" s="8" t="n">
        <f aca="false">1/(D21/100+1)</f>
        <v>0.0140845070422535</v>
      </c>
    </row>
    <row r="22" customFormat="false" ht="15" hidden="false" customHeight="false" outlineLevel="0" collapsed="false">
      <c r="A22" s="9" t="n">
        <v>18</v>
      </c>
      <c r="B22" s="29" t="s">
        <v>35</v>
      </c>
      <c r="C22" s="11" t="s">
        <v>20</v>
      </c>
      <c r="D22" s="12" t="n">
        <v>8000</v>
      </c>
      <c r="E22" s="13" t="n">
        <f aca="false">1/(D22/100+1)</f>
        <v>0.0123456790123457</v>
      </c>
    </row>
    <row r="23" customFormat="false" ht="15" hidden="false" customHeight="false" outlineLevel="0" collapsed="false">
      <c r="A23" s="4" t="n">
        <v>19</v>
      </c>
      <c r="B23" s="30" t="s">
        <v>36</v>
      </c>
      <c r="C23" s="6" t="s">
        <v>22</v>
      </c>
      <c r="D23" s="7" t="n">
        <v>8000</v>
      </c>
      <c r="E23" s="8" t="n">
        <f aca="false">1/(D23/100+1)</f>
        <v>0.0123456790123457</v>
      </c>
    </row>
    <row r="24" customFormat="false" ht="15" hidden="false" customHeight="false" outlineLevel="0" collapsed="false">
      <c r="A24" s="9" t="n">
        <v>20</v>
      </c>
      <c r="B24" s="31" t="s">
        <v>37</v>
      </c>
      <c r="C24" s="11" t="s">
        <v>12</v>
      </c>
      <c r="D24" s="12" t="n">
        <v>9000</v>
      </c>
      <c r="E24" s="13" t="n">
        <f aca="false">1/(D24/100+1)</f>
        <v>0.010989010989011</v>
      </c>
    </row>
    <row r="25" customFormat="false" ht="15" hidden="false" customHeight="false" outlineLevel="0" collapsed="false">
      <c r="A25" s="4" t="n">
        <v>21</v>
      </c>
      <c r="B25" s="32" t="s">
        <v>38</v>
      </c>
      <c r="C25" s="6" t="s">
        <v>39</v>
      </c>
      <c r="D25" s="7" t="n">
        <v>10000</v>
      </c>
      <c r="E25" s="8" t="n">
        <f aca="false">1/(D25/100+1)</f>
        <v>0.0099009900990099</v>
      </c>
    </row>
    <row r="26" customFormat="false" ht="15" hidden="false" customHeight="false" outlineLevel="0" collapsed="false">
      <c r="A26" s="9" t="n">
        <v>22</v>
      </c>
      <c r="B26" s="33" t="s">
        <v>40</v>
      </c>
      <c r="C26" s="11" t="s">
        <v>16</v>
      </c>
      <c r="D26" s="12" t="n">
        <v>10000</v>
      </c>
      <c r="E26" s="13" t="n">
        <f aca="false">1/(D26/100+1)</f>
        <v>0.0099009900990099</v>
      </c>
    </row>
    <row r="27" customFormat="false" ht="15" hidden="false" customHeight="false" outlineLevel="0" collapsed="false">
      <c r="A27" s="4" t="n">
        <v>23</v>
      </c>
      <c r="B27" s="34" t="s">
        <v>41</v>
      </c>
      <c r="C27" s="6" t="s">
        <v>10</v>
      </c>
      <c r="D27" s="7" t="n">
        <v>10000</v>
      </c>
      <c r="E27" s="8" t="n">
        <f aca="false">1/(D27/100+1)</f>
        <v>0.0099009900990099</v>
      </c>
    </row>
    <row r="28" customFormat="false" ht="15" hidden="false" customHeight="false" outlineLevel="0" collapsed="false">
      <c r="A28" s="9" t="n">
        <v>24</v>
      </c>
      <c r="B28" s="35" t="s">
        <v>42</v>
      </c>
      <c r="C28" s="11" t="s">
        <v>34</v>
      </c>
      <c r="D28" s="12" t="n">
        <v>15000</v>
      </c>
      <c r="E28" s="13" t="n">
        <f aca="false">1/(D28/100+1)</f>
        <v>0.00662251655629139</v>
      </c>
    </row>
    <row r="29" customFormat="false" ht="15" hidden="false" customHeight="false" outlineLevel="0" collapsed="false">
      <c r="A29" s="4" t="n">
        <v>25</v>
      </c>
      <c r="B29" s="36" t="s">
        <v>43</v>
      </c>
      <c r="C29" s="6" t="s">
        <v>39</v>
      </c>
      <c r="D29" s="7" t="n">
        <v>20000</v>
      </c>
      <c r="E29" s="8" t="n">
        <f aca="false">1/(D29/100+1)</f>
        <v>0.00497512437810945</v>
      </c>
    </row>
    <row r="30" customFormat="false" ht="15" hidden="false" customHeight="false" outlineLevel="0" collapsed="false">
      <c r="A30" s="9" t="n">
        <v>26</v>
      </c>
      <c r="B30" s="37" t="s">
        <v>44</v>
      </c>
      <c r="C30" s="11" t="s">
        <v>30</v>
      </c>
      <c r="D30" s="12" t="n">
        <v>20000</v>
      </c>
      <c r="E30" s="13" t="n">
        <f aca="false">1/(D30/100+1)</f>
        <v>0.00497512437810945</v>
      </c>
    </row>
    <row r="31" customFormat="false" ht="15" hidden="false" customHeight="false" outlineLevel="0" collapsed="false">
      <c r="A31" s="4" t="n">
        <v>27</v>
      </c>
      <c r="B31" s="38" t="s">
        <v>45</v>
      </c>
      <c r="C31" s="6" t="s">
        <v>14</v>
      </c>
      <c r="D31" s="7" t="n">
        <v>20000</v>
      </c>
      <c r="E31" s="8" t="n">
        <f aca="false">1/(D31/100+1)</f>
        <v>0.00497512437810945</v>
      </c>
    </row>
    <row r="32" customFormat="false" ht="15" hidden="false" customHeight="false" outlineLevel="0" collapsed="false">
      <c r="A32" s="9" t="n">
        <v>28</v>
      </c>
      <c r="B32" s="39" t="s">
        <v>46</v>
      </c>
      <c r="C32" s="11" t="s">
        <v>20</v>
      </c>
      <c r="D32" s="12" t="n">
        <v>25000</v>
      </c>
      <c r="E32" s="13" t="n">
        <f aca="false">1/(D32/100+1)</f>
        <v>0.00398406374501992</v>
      </c>
    </row>
    <row r="33" customFormat="false" ht="15" hidden="false" customHeight="false" outlineLevel="0" collapsed="false">
      <c r="A33" s="4" t="n">
        <v>29</v>
      </c>
      <c r="B33" s="40" t="s">
        <v>47</v>
      </c>
      <c r="C33" s="6" t="s">
        <v>39</v>
      </c>
      <c r="D33" s="7" t="n">
        <v>25000</v>
      </c>
      <c r="E33" s="8" t="n">
        <f aca="false">1/(D33/100+1)</f>
        <v>0.00398406374501992</v>
      </c>
    </row>
    <row r="34" customFormat="false" ht="15" hidden="false" customHeight="false" outlineLevel="0" collapsed="false">
      <c r="A34" s="9" t="n">
        <v>30</v>
      </c>
      <c r="B34" s="41" t="s">
        <v>48</v>
      </c>
      <c r="C34" s="11" t="s">
        <v>25</v>
      </c>
      <c r="D34" s="12" t="n">
        <v>30000</v>
      </c>
      <c r="E34" s="13" t="n">
        <f aca="false">1/(D34/100+1)</f>
        <v>0.00332225913621262</v>
      </c>
    </row>
    <row r="35" customFormat="false" ht="15" hidden="false" customHeight="false" outlineLevel="0" collapsed="false">
      <c r="A35" s="4" t="n">
        <v>31</v>
      </c>
      <c r="B35" s="42" t="s">
        <v>49</v>
      </c>
      <c r="C35" s="6" t="s">
        <v>25</v>
      </c>
      <c r="D35" s="7" t="n">
        <v>30000</v>
      </c>
      <c r="E35" s="8" t="n">
        <f aca="false">1/(D35/100+1)</f>
        <v>0.00332225913621262</v>
      </c>
    </row>
    <row r="36" customFormat="false" ht="15" hidden="false" customHeight="false" outlineLevel="0" collapsed="false">
      <c r="A36" s="9" t="n">
        <v>32</v>
      </c>
      <c r="B36" s="43" t="s">
        <v>50</v>
      </c>
      <c r="C36" s="11" t="s">
        <v>16</v>
      </c>
      <c r="D36" s="12" t="n">
        <v>35000</v>
      </c>
      <c r="E36" s="13" t="n">
        <f aca="false">1/(D36/100+1)</f>
        <v>0.00284900284900285</v>
      </c>
    </row>
    <row r="37" customFormat="false" ht="15" hidden="false" customHeight="false" outlineLevel="0" collapsed="false">
      <c r="A37" s="4" t="n">
        <v>33</v>
      </c>
      <c r="B37" s="44" t="s">
        <v>51</v>
      </c>
      <c r="C37" s="6" t="s">
        <v>34</v>
      </c>
      <c r="D37" s="7" t="n">
        <v>35000</v>
      </c>
      <c r="E37" s="8" t="n">
        <f aca="false">1/(D37/100+1)</f>
        <v>0.00284900284900285</v>
      </c>
    </row>
    <row r="38" customFormat="false" ht="15" hidden="false" customHeight="false" outlineLevel="0" collapsed="false">
      <c r="A38" s="9" t="n">
        <v>34</v>
      </c>
      <c r="B38" s="45" t="s">
        <v>52</v>
      </c>
      <c r="C38" s="11" t="s">
        <v>12</v>
      </c>
      <c r="D38" s="12" t="n">
        <v>35000</v>
      </c>
      <c r="E38" s="13" t="n">
        <f aca="false">1/(D38/100+1)</f>
        <v>0.00284900284900285</v>
      </c>
    </row>
    <row r="39" customFormat="false" ht="15" hidden="false" customHeight="false" outlineLevel="0" collapsed="false">
      <c r="A39" s="4" t="n">
        <v>35</v>
      </c>
      <c r="B39" s="46" t="s">
        <v>53</v>
      </c>
      <c r="C39" s="6" t="s">
        <v>30</v>
      </c>
      <c r="D39" s="7" t="n">
        <v>45000</v>
      </c>
      <c r="E39" s="8" t="n">
        <f aca="false">1/(D39/100+1)</f>
        <v>0.00221729490022173</v>
      </c>
    </row>
    <row r="40" customFormat="false" ht="15" hidden="false" customHeight="false" outlineLevel="0" collapsed="false">
      <c r="A40" s="9" t="n">
        <v>36</v>
      </c>
      <c r="B40" s="47" t="s">
        <v>54</v>
      </c>
      <c r="C40" s="11" t="s">
        <v>22</v>
      </c>
      <c r="D40" s="12" t="n">
        <v>50000</v>
      </c>
      <c r="E40" s="13" t="n">
        <f aca="false">1/(D40/100+1)</f>
        <v>0.00199600798403194</v>
      </c>
    </row>
    <row r="41" customFormat="false" ht="15" hidden="false" customHeight="false" outlineLevel="0" collapsed="false">
      <c r="A41" s="4" t="n">
        <v>37</v>
      </c>
      <c r="B41" s="48" t="s">
        <v>55</v>
      </c>
      <c r="C41" s="6" t="s">
        <v>18</v>
      </c>
      <c r="D41" s="7" t="n">
        <v>70000</v>
      </c>
      <c r="E41" s="8" t="n">
        <f aca="false">1/(D41/100+1)</f>
        <v>0.0014265335235378</v>
      </c>
    </row>
    <row r="42" customFormat="false" ht="15" hidden="false" customHeight="false" outlineLevel="0" collapsed="false">
      <c r="A42" s="9" t="n">
        <v>38</v>
      </c>
      <c r="B42" s="49" t="s">
        <v>56</v>
      </c>
      <c r="C42" s="11" t="s">
        <v>34</v>
      </c>
      <c r="D42" s="12" t="n">
        <v>80000</v>
      </c>
      <c r="E42" s="13" t="n">
        <f aca="false">1/(D42/100+1)</f>
        <v>0.00124843945068664</v>
      </c>
    </row>
    <row r="43" customFormat="false" ht="15" hidden="false" customHeight="false" outlineLevel="0" collapsed="false">
      <c r="A43" s="4" t="n">
        <v>39</v>
      </c>
      <c r="B43" s="50" t="s">
        <v>57</v>
      </c>
      <c r="C43" s="6" t="s">
        <v>8</v>
      </c>
      <c r="D43" s="7" t="n">
        <v>100000</v>
      </c>
      <c r="E43" s="8" t="n">
        <f aca="false">1/(D43/100+1)</f>
        <v>0.000999000999000999</v>
      </c>
    </row>
    <row r="44" customFormat="false" ht="15" hidden="false" customHeight="false" outlineLevel="0" collapsed="false">
      <c r="A44" s="9" t="n">
        <v>40</v>
      </c>
      <c r="B44" s="51" t="s">
        <v>58</v>
      </c>
      <c r="C44" s="11" t="s">
        <v>12</v>
      </c>
      <c r="D44" s="12" t="n">
        <v>100000</v>
      </c>
      <c r="E44" s="13" t="n">
        <f aca="false">1/(D44/100+1)</f>
        <v>0.000999000999000999</v>
      </c>
    </row>
    <row r="45" customFormat="false" ht="15" hidden="false" customHeight="false" outlineLevel="0" collapsed="false">
      <c r="A45" s="4" t="n">
        <v>41</v>
      </c>
      <c r="B45" s="52" t="s">
        <v>59</v>
      </c>
      <c r="C45" s="6" t="s">
        <v>39</v>
      </c>
      <c r="D45" s="7" t="n">
        <v>100000</v>
      </c>
      <c r="E45" s="8" t="n">
        <f aca="false">1/(D45/100+1)</f>
        <v>0.000999000999000999</v>
      </c>
    </row>
    <row r="46" customFormat="false" ht="15" hidden="false" customHeight="false" outlineLevel="0" collapsed="false">
      <c r="A46" s="9" t="n">
        <v>42</v>
      </c>
      <c r="B46" s="53" t="s">
        <v>60</v>
      </c>
      <c r="C46" s="11" t="s">
        <v>25</v>
      </c>
      <c r="D46" s="12" t="n">
        <v>100000</v>
      </c>
      <c r="E46" s="13" t="n">
        <f aca="false">1/(D46/100+1)</f>
        <v>0.000999000999000999</v>
      </c>
    </row>
    <row r="47" customFormat="false" ht="15" hidden="false" customHeight="false" outlineLevel="0" collapsed="false">
      <c r="A47" s="4" t="n">
        <v>43</v>
      </c>
      <c r="B47" s="54" t="s">
        <v>61</v>
      </c>
      <c r="C47" s="6" t="s">
        <v>10</v>
      </c>
      <c r="D47" s="7" t="n">
        <v>100000</v>
      </c>
      <c r="E47" s="8" t="n">
        <f aca="false">1/(D47/100+1)</f>
        <v>0.000999000999000999</v>
      </c>
    </row>
    <row r="48" customFormat="false" ht="15" hidden="false" customHeight="false" outlineLevel="0" collapsed="false">
      <c r="A48" s="9" t="n">
        <v>44</v>
      </c>
      <c r="B48" s="55" t="s">
        <v>62</v>
      </c>
      <c r="C48" s="11" t="s">
        <v>8</v>
      </c>
      <c r="D48" s="12" t="n">
        <v>100000</v>
      </c>
      <c r="E48" s="13" t="n">
        <f aca="false">1/(D48/100+1)</f>
        <v>0.000999000999000999</v>
      </c>
    </row>
    <row r="49" customFormat="false" ht="15" hidden="false" customHeight="false" outlineLevel="0" collapsed="false">
      <c r="A49" s="4" t="n">
        <v>45</v>
      </c>
      <c r="B49" s="56" t="s">
        <v>63</v>
      </c>
      <c r="C49" s="6" t="s">
        <v>18</v>
      </c>
      <c r="D49" s="7" t="n">
        <v>150000</v>
      </c>
      <c r="E49" s="8" t="n">
        <f aca="false">1/(D49/100+1)</f>
        <v>0.000666222518321119</v>
      </c>
    </row>
    <row r="50" customFormat="false" ht="15" hidden="false" customHeight="false" outlineLevel="0" collapsed="false">
      <c r="A50" s="9" t="n">
        <v>46</v>
      </c>
      <c r="B50" s="41" t="s">
        <v>64</v>
      </c>
      <c r="C50" s="11" t="s">
        <v>16</v>
      </c>
      <c r="D50" s="12" t="n">
        <v>150000</v>
      </c>
      <c r="E50" s="13" t="n">
        <f aca="false">1/(D50/100+1)</f>
        <v>0.000666222518321119</v>
      </c>
    </row>
    <row r="51" customFormat="false" ht="15" hidden="false" customHeight="false" outlineLevel="0" collapsed="false">
      <c r="A51" s="4" t="n">
        <v>47</v>
      </c>
      <c r="B51" s="57" t="s">
        <v>65</v>
      </c>
      <c r="C51" s="6" t="s">
        <v>14</v>
      </c>
      <c r="D51" s="7" t="n">
        <v>150000</v>
      </c>
      <c r="E51" s="8" t="n">
        <f aca="false">1/(D51/100+1)</f>
        <v>0.000666222518321119</v>
      </c>
    </row>
    <row r="52" customFormat="false" ht="15" hidden="false" customHeight="false" outlineLevel="0" collapsed="false">
      <c r="A52" s="9" t="n">
        <v>48</v>
      </c>
      <c r="B52" s="58" t="s">
        <v>66</v>
      </c>
      <c r="C52" s="11" t="s">
        <v>20</v>
      </c>
      <c r="D52" s="12" t="n">
        <v>150000</v>
      </c>
      <c r="E52" s="13" t="n">
        <f aca="false">1/(D52/100+1)</f>
        <v>0.000666222518321119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8"/>
  </cols>
  <sheetData>
    <row r="1" customFormat="false" ht="22.0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21.75" hidden="false" customHeight="true" outlineLevel="0" collapsed="false">
      <c r="A4" s="3" t="s">
        <v>69</v>
      </c>
      <c r="B4" s="3" t="s">
        <v>70</v>
      </c>
      <c r="C4" s="59" t="s">
        <v>71</v>
      </c>
      <c r="D4" s="60" t="s">
        <v>72</v>
      </c>
      <c r="E4" s="61" t="s">
        <v>73</v>
      </c>
      <c r="F4" s="62" t="s">
        <v>74</v>
      </c>
      <c r="G4" s="63" t="s">
        <v>75</v>
      </c>
    </row>
    <row r="5" customFormat="false" ht="15" hidden="false" customHeight="false" outlineLevel="0" collapsed="false">
      <c r="A5" s="64" t="s">
        <v>76</v>
      </c>
      <c r="B5" s="65" t="s">
        <v>77</v>
      </c>
      <c r="C5" s="65" t="s">
        <v>77</v>
      </c>
      <c r="D5" s="65" t="s">
        <v>77</v>
      </c>
      <c r="E5" s="65" t="s">
        <v>77</v>
      </c>
      <c r="F5" s="65" t="s">
        <v>77</v>
      </c>
      <c r="G5" s="65" t="s">
        <v>77</v>
      </c>
    </row>
    <row r="6" customFormat="false" ht="15" hidden="false" customHeight="false" outlineLevel="0" collapsed="false">
      <c r="A6" s="66" t="n">
        <v>1</v>
      </c>
      <c r="B6" s="67"/>
      <c r="C6" s="67"/>
      <c r="D6" s="67"/>
      <c r="E6" s="67"/>
      <c r="F6" s="67"/>
      <c r="G6" s="67"/>
    </row>
    <row r="7" customFormat="false" ht="15" hidden="false" customHeight="false" outlineLevel="0" collapsed="false">
      <c r="A7" s="66" t="n">
        <v>2</v>
      </c>
      <c r="B7" s="68"/>
      <c r="C7" s="68"/>
      <c r="D7" s="68"/>
      <c r="E7" s="68"/>
      <c r="F7" s="68"/>
      <c r="G7" s="68"/>
    </row>
    <row r="8" customFormat="false" ht="15" hidden="false" customHeight="false" outlineLevel="0" collapsed="false">
      <c r="A8" s="66" t="n">
        <v>3</v>
      </c>
      <c r="B8" s="67"/>
      <c r="C8" s="67"/>
      <c r="D8" s="67"/>
      <c r="E8" s="67"/>
      <c r="F8" s="67"/>
      <c r="G8" s="67"/>
    </row>
    <row r="9" customFormat="false" ht="15" hidden="false" customHeight="false" outlineLevel="0" collapsed="false">
      <c r="A9" s="66" t="n">
        <v>4</v>
      </c>
      <c r="B9" s="68"/>
      <c r="C9" s="68"/>
      <c r="D9" s="68"/>
      <c r="E9" s="68"/>
      <c r="F9" s="68"/>
      <c r="G9" s="68"/>
    </row>
    <row r="10" customFormat="false" ht="15" hidden="false" customHeight="false" outlineLevel="0" collapsed="false">
      <c r="A10" s="66" t="n">
        <v>5</v>
      </c>
      <c r="B10" s="67"/>
      <c r="C10" s="67"/>
      <c r="D10" s="67"/>
      <c r="E10" s="67"/>
      <c r="F10" s="67"/>
      <c r="G10" s="67"/>
    </row>
    <row r="11" customFormat="false" ht="15" hidden="false" customHeight="false" outlineLevel="0" collapsed="false">
      <c r="A11" s="66" t="n">
        <v>6</v>
      </c>
      <c r="B11" s="68"/>
      <c r="C11" s="68"/>
      <c r="D11" s="68"/>
      <c r="E11" s="68"/>
      <c r="F11" s="68"/>
      <c r="G11" s="68"/>
    </row>
    <row r="12" customFormat="false" ht="15" hidden="false" customHeight="false" outlineLevel="0" collapsed="false">
      <c r="A12" s="66" t="n">
        <v>7</v>
      </c>
      <c r="B12" s="67"/>
      <c r="C12" s="67"/>
      <c r="D12" s="67"/>
      <c r="E12" s="67"/>
      <c r="F12" s="67"/>
      <c r="G12" s="67"/>
    </row>
    <row r="13" customFormat="false" ht="15" hidden="false" customHeight="false" outlineLevel="0" collapsed="false">
      <c r="A13" s="66" t="n">
        <v>8</v>
      </c>
      <c r="B13" s="68"/>
      <c r="C13" s="68"/>
      <c r="D13" s="68"/>
      <c r="E13" s="68"/>
      <c r="F13" s="68"/>
      <c r="G13" s="68"/>
    </row>
    <row r="14" customFormat="false" ht="15" hidden="false" customHeight="false" outlineLevel="0" collapsed="false">
      <c r="A14" s="69" t="s">
        <v>78</v>
      </c>
      <c r="B14" s="70" t="n">
        <f aca="false">COUNTA(B6:B13)</f>
        <v>0</v>
      </c>
      <c r="C14" s="70" t="n">
        <f aca="false">COUNTA(C6:C13)</f>
        <v>0</v>
      </c>
      <c r="D14" s="70" t="n">
        <f aca="false">COUNTA(D6:D13)</f>
        <v>0</v>
      </c>
      <c r="E14" s="70" t="n">
        <f aca="false">COUNTA(E6:E13)</f>
        <v>0</v>
      </c>
      <c r="F14" s="70" t="n">
        <f aca="false">COUNTA(F6:F13)</f>
        <v>0</v>
      </c>
      <c r="G14" s="70" t="n">
        <f aca="false">COUNTA(G6:G13)</f>
        <v>0</v>
      </c>
    </row>
    <row r="15" customFormat="false" ht="15" hidden="false" customHeight="false" outlineLevel="0" collapsed="false">
      <c r="A15" s="71" t="s">
        <v>79</v>
      </c>
      <c r="B15" s="72" t="n">
        <f aca="false">SUMPRODUCT(IFERROR(VLOOKUP(B6:B13,'Odds Board'!$B$5:$E$52,4,0),0))</f>
        <v>0</v>
      </c>
      <c r="C15" s="73" t="n">
        <f aca="false">SUMPRODUCT(IFERROR(VLOOKUP(C6:C13,'Odds Board'!$B$5:$E$52,4,0),0))</f>
        <v>0</v>
      </c>
      <c r="D15" s="74" t="n">
        <f aca="false">SUMPRODUCT(IFERROR(VLOOKUP(D6:D13,'Odds Board'!$B$5:$E$52,4,0),0))</f>
        <v>0</v>
      </c>
      <c r="E15" s="75" t="n">
        <f aca="false">SUMPRODUCT(IFERROR(VLOOKUP(E6:E13,'Odds Board'!$B$5:$E$52,4,0),0))</f>
        <v>0</v>
      </c>
      <c r="F15" s="76" t="n">
        <f aca="false">SUMPRODUCT(IFERROR(VLOOKUP(F6:F13,'Odds Board'!$B$5:$E$52,4,0),0))</f>
        <v>0</v>
      </c>
      <c r="G15" s="77" t="n">
        <f aca="false">SUMPRODUCT(IFERROR(VLOOKUP(G6:G13,'Odds Board'!$B$5:$E$52,4,0),0))</f>
        <v>0</v>
      </c>
    </row>
  </sheetData>
  <dataValidations count="1">
    <dataValidation allowBlank="true" error="Pick a team from the World Cup field" errorStyle="stop" errorTitle="Invalid team" operator="between" showDropDown="false" showErrorMessage="true" showInputMessage="false" sqref="B6:G13" type="list">
      <formula1>'Odds Board'!$B$5:$B$52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2026-06-08T00:45:50Z</dcterms:created>
  <dc:creator>openpyxl</dc:creator>
  <dc:description/>
  <dc:language>en-US</dc:language>
  <cp:lastModifiedBy/>
  <dcterms:modified xsi:type="dcterms:W3CDTF">2026-06-08T00:45:50Z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